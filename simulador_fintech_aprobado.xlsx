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1e3683cd7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dor Fintech" sheetId="1" r:id="R71216210c43842c3"/>
    <x:sheet xmlns:r="http://schemas.openxmlformats.org/officeDocument/2006/relationships" name="Bandas y Reglas" sheetId="2" r:id="R87f70518cfcb4e61"/>
    <x:sheet xmlns:r="http://schemas.openxmlformats.org/officeDocument/2006/relationships" name="Variables Datacrédito" sheetId="3" r:id="Rc86ccd559fb1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"/>
    <x:numFmt numFmtId="201" formatCode="0.00%"/>
    <x:numFmt numFmtId="202" formatCode="&quot;$&quot;#,##0;[Red]-&quot;$&quot;#,##0"/>
  </x:numFmts>
  <x:fonts count="4">
    <x:font>
      <x:sz val="11"/>
      <x:name val="Carlito"/>
    </x:font>
    <x:font>
      <x:sz val="10"/>
      <x:name val="Aptos"/>
    </x:font>
    <x:font>
      <x:b/>
      <x:sz val="16"/>
      <x:name val="Aptos Display"/>
    </x:font>
    <x:font>
      <x:b/>
      <x:sz val="11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" borderId="0" xfId="0" applyNumberFormat="1" applyFont="1" applyFill="0" applyBorder="1" applyAlignment="1">
      <x:alignment vertical="center" wrapText="1"/>
    </x:xf>
    <x:xf numFmtId="0" fontId="1" borderId="1" xfId="0" applyNumberFormat="1" applyFont="1" applyFill="0" applyBorder="1" applyAlignment="1">
      <x:alignment vertical="center" wrapText="1"/>
    </x:xf>
    <x:xf numFmtId="0" fontId="3" borderId="0" xfId="0" applyNumberFormat="1" applyFont="1" applyFill="0" applyBorder="1" applyAlignment="1">
      <x:alignment vertical="center" wrapText="1"/>
    </x:xf>
    <x:xf numFmtId="0" fontId="3" borderId="1" xfId="0" applyNumberFormat="1" applyFont="1" applyFill="0" applyBorder="1" applyAlignment="1">
      <x:alignment vertical="center" wrapText="1"/>
    </x:xf>
    <x:xf numFmtId="0" fontId="3" borderId="0" xfId="0" applyNumberFormat="1" applyFont="1" applyFill="0" applyBorder="1" applyAlignment="1">
      <x:alignment horizontal="center" vertical="center" wrapText="1"/>
    </x:xf>
    <x:xf numFmtId="0" fontId="3" borderId="1" xfId="0" applyNumberFormat="1" applyFont="1" applyFill="0" applyBorder="1" applyAlignment="1">
      <x:alignment horizontal="center" vertical="center" wrapText="1"/>
    </x:xf>
    <x:xf numFmtId="200" fontId="1" borderId="0" xfId="0" applyNumberFormat="1" applyFont="1" applyFill="0" applyBorder="1" applyAlignment="1">
      <x:alignment vertical="center" wrapText="1"/>
    </x:xf>
    <x:xf numFmtId="200" fontId="1" borderId="1" xfId="0" applyNumberFormat="1" applyFont="1" applyFill="0" applyBorder="1" applyAlignment="1">
      <x:alignment vertical="center" wrapText="1"/>
    </x:xf>
    <x:xf numFmtId="201" fontId="1" borderId="0" xfId="0" applyNumberFormat="1" applyFont="1" applyFill="0" applyBorder="1" applyAlignment="1">
      <x:alignment vertical="center" wrapText="1"/>
    </x:xf>
    <x:xf numFmtId="201" fontId="3" borderId="0" xfId="0" applyNumberFormat="1" applyFont="1" applyFill="0" applyBorder="1" applyAlignment="1">
      <x:alignment horizontal="center" vertical="center" wrapText="1"/>
    </x:xf>
    <x:xf numFmtId="201" fontId="1" borderId="1" xfId="0" applyNumberFormat="1" applyFont="1" applyFill="0" applyBorder="1" applyAlignment="1">
      <x:alignment vertical="center" wrapText="1"/>
    </x:xf>
    <x:xf numFmtId="201" fontId="3" borderId="1" xfId="0" applyNumberFormat="1" applyFont="1" applyFill="0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borderId="0" xfId="0" applyNumberFormat="1" applyFont="1" applyFill="0" applyBorder="1" applyAlignment="1">
      <x:alignment vertical="center" wrapText="1"/>
    </x:xf>
    <x:xf numFmtId="202" fontId="1" borderId="1" xfId="0" applyNumberFormat="1" applyFont="1" applyFill="0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5f601e5544be4" /><Relationship Type="http://schemas.openxmlformats.org/officeDocument/2006/relationships/theme" Target="/xl/theme/theme1.xml" Id="Rc009a622a5744f5d" /><Relationship Type="http://schemas.openxmlformats.org/officeDocument/2006/relationships/sharedStrings" Target="/xl/sharedStrings.xml" Id="R13550c40aad14c1b" /><Relationship Type="http://schemas.openxmlformats.org/officeDocument/2006/relationships/worksheet" Target="/xl/worksheets/sheet1.xml" Id="R71216210c43842c3" /><Relationship Type="http://schemas.openxmlformats.org/officeDocument/2006/relationships/worksheet" Target="/xl/worksheets/sheet2.xml" Id="R87f70518cfcb4e61" /><Relationship Type="http://schemas.openxmlformats.org/officeDocument/2006/relationships/worksheet" Target="/xl/worksheets/sheet3.xml" Id="Rc86ccd559fb148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8" max="8" width="22" hidden="0" customWidth="1"/>
    <x:col min="9" max="9" width="20" hidden="0" customWidth="1"/>
    <x:col min="10" max="10" width="14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</x:cols>
  <x:sheetData>
    <x:row r="1" ht="28" customHeight="1">
      <x:c r="A1" s="8" t="str">
        <x:v>Simulador Fintech - Aprobado Crédito Consumo Masivo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8" customHeight="1">
      <x:c r="A2" s="6" t="str">
        <x:v>Modelo base para originación con Decisor, topes de monto/plazo, referencias y control por geolocalización. Edita únicamente las celdas en amarillo.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ht="20" customHeight="1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ht="20" customHeight="1">
      <x:c r="A4" s="14" t="str">
        <x:v>Parámetros del producto</x:v>
      </x:c>
      <x:c r="B4" s="14"/>
      <x:c r="C4" s="14"/>
      <x:c r="D4" s="14"/>
      <x:c r="E4" s="14"/>
      <x:c r="F4" s="14"/>
      <x:c r="G4" s="6"/>
      <x:c r="H4" s="14" t="str">
        <x:v>Semáforos y validaciones</x:v>
      </x:c>
      <x:c r="I4" s="14"/>
      <x:c r="J4" s="14"/>
      <x:c r="K4" s="14"/>
      <x:c r="L4" s="14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ht="20" customHeight="1">
      <x:c r="A5" s="6" t="str">
        <x:v>Monto máximo producto</x:v>
      </x:c>
      <x:c r="B5" s="16" t="n">
        <x:v>2000000</x:v>
      </x:c>
      <x:c r="C5" s="6"/>
      <x:c r="D5" s="6"/>
      <x:c r="E5" s="6"/>
      <x:c r="F5" s="6"/>
      <x:c r="G5" s="6"/>
      <x:c r="H5" s="6" t="str">
        <x:v>Peso Datacrédito</x:v>
      </x:c>
      <x:c r="I5" s="6" t="n">
        <x:v>0.45</x:v>
      </x:c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ht="20" customHeight="1">
      <x:c r="A6" s="6" t="str">
        <x:v>Plazo máximo (meses)</x:v>
      </x:c>
      <x:c r="B6" s="10" t="n">
        <x:v>6</x:v>
      </x:c>
      <x:c r="C6" s="6"/>
      <x:c r="D6" s="6"/>
      <x:c r="E6" s="6"/>
      <x:c r="F6" s="6"/>
      <x:c r="G6" s="6"/>
      <x:c r="H6" s="6" t="str">
        <x:v>Peso Capacidad</x:v>
      </x:c>
      <x:c r="I6" s="6" t="n">
        <x:v>0.3</x:v>
      </x:c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ht="20" customHeight="1">
      <x:c r="A7" s="6" t="str">
        <x:v>TEA base aprobados</x:v>
      </x:c>
      <x:c r="B7" s="18" t="n">
        <x:v>0.24</x:v>
      </x:c>
      <x:c r="C7" s="6"/>
      <x:c r="D7" s="6"/>
      <x:c r="E7" s="6"/>
      <x:c r="F7" s="6"/>
      <x:c r="G7" s="6"/>
      <x:c r="H7" s="6" t="str">
        <x:v>Peso Comportamiento</x:v>
      </x:c>
      <x:c r="I7" s="6" t="n">
        <x:v>0.08</x:v>
      </x:c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ht="20" customHeight="1">
      <x:c r="A8" s="6" t="str">
        <x:v>TEA media condicionados</x:v>
      </x:c>
      <x:c r="B8" s="18" t="n">
        <x:v>0.3</x:v>
      </x:c>
      <x:c r="C8" s="6"/>
      <x:c r="D8" s="6"/>
      <x:c r="E8" s="6"/>
      <x:c r="F8" s="6"/>
      <x:c r="G8" s="6"/>
      <x:c r="H8" s="6" t="str">
        <x:v>Peso Riesgo</x:v>
      </x:c>
      <x:c r="I8" s="6" t="n">
        <x:v>0.12</x:v>
      </x:c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 ht="20" customHeight="1">
      <x:c r="A9" s="6" t="str">
        <x:v>TEA alta revisión</x:v>
      </x:c>
      <x:c r="B9" s="18" t="n">
        <x:v>0.36</x:v>
      </x:c>
      <x:c r="C9" s="6"/>
      <x:c r="D9" s="6"/>
      <x:c r="E9" s="6"/>
      <x:c r="F9" s="6"/>
      <x:c r="G9" s="6"/>
      <x:c r="H9" s="6" t="str">
        <x:v>Peso Referencias</x:v>
      </x:c>
      <x:c r="I9" s="6" t="n">
        <x:v>0.05</x:v>
      </x:c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 ht="20" customHeight="1">
      <x:c r="A10" s="14" t="str">
        <x:v>Cuota máxima / ingreso neto</x:v>
      </x:c>
      <x:c r="B10" s="19" t="n">
        <x:v>0.25</x:v>
      </x:c>
      <x:c r="C10" s="14"/>
      <x:c r="D10" s="14"/>
      <x:c r="E10" s="14"/>
      <x:c r="F10" s="14"/>
      <x:c r="G10" s="6"/>
      <x:c r="H10" s="6" t="str">
        <x:v>Peso Geolocalización</x:v>
      </x:c>
      <x:c r="I10" s="6" t="n">
        <x:v>0</x:v>
      </x:c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ht="20" customHeight="1">
      <x:c r="A11" s="6" t="str">
        <x:v>Score Datacrédito (0-1000)</x:v>
      </x:c>
      <x:c r="B11" s="10" t="n">
        <x:v>720</x:v>
      </x:c>
      <x:c r="C11" s="6"/>
      <x:c r="D11" s="6"/>
      <x:c r="E11" s="6"/>
      <x:c r="F11" s="6"/>
      <x:c r="G11" s="6"/>
      <x:c r="H11" s="10" t="str">
        <x:v>Score base ponderado</x:v>
      </x:c>
      <x:c r="I11" s="10" t="n">
        <x:f>SUMPRODUCT(B11:B15,I5:I9)</x:f>
        <x:v>732.1999999999999</x:v>
      </x:c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ht="20" customHeight="1">
      <x:c r="A12" s="6" t="str">
        <x:v>Capacidad de pago (0-1000)</x:v>
      </x:c>
      <x:c r="B12" s="10" t="n">
        <x:v>680</x:v>
      </x:c>
      <x:c r="C12" s="6"/>
      <x:c r="D12" s="6"/>
      <x:c r="E12" s="6"/>
      <x:c r="F12" s="6"/>
      <x:c r="G12" s="6"/>
      <x:c r="H12" s="10" t="str">
        <x:v>Score final ajustado</x:v>
      </x:c>
      <x:c r="I12" s="10" t="n">
        <x:f>MAX(0,MIN(1000,I11+B21))</x:f>
        <x:v>732.1999999999999</x:v>
      </x:c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</x:row>
    <x:row r="13" ht="20" customHeight="1">
      <x:c r="A13" s="6" t="str">
        <x:v>Comportamiento digital (0-1000)</x:v>
      </x:c>
      <x:c r="B13" s="10" t="n">
        <x:v>760</x:v>
      </x:c>
      <x:c r="C13" s="6"/>
      <x:c r="D13" s="6"/>
      <x:c r="E13" s="6"/>
      <x:c r="F13" s="6"/>
      <x:c r="G13" s="6"/>
      <x:c r="H13" s="10" t="str">
        <x:v>Decisión</x:v>
      </x:c>
      <x:c r="I13" s="10" t="str">
        <x:f>IF(I12&gt;=750,"Aprobado",IF(I12&gt;=600,"Aprobado condicionado","Rechazado"))</x:f>
        <x:v>Aprobado condicionado</x:v>
      </x:c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ht="20" customHeight="1">
      <x:c r="A14" s="6" t="str">
        <x:v>Riesgo / antifraude (0-1000)</x:v>
      </x:c>
      <x:c r="B14" s="10" t="n">
        <x:v>820</x:v>
      </x:c>
      <x:c r="C14" s="6"/>
      <x:c r="D14" s="6"/>
      <x:c r="E14" s="6"/>
      <x:c r="F14" s="6"/>
      <x:c r="G14" s="6"/>
      <x:c r="H14" s="14" t="str">
        <x:v>Semáforo geo</x:v>
      </x:c>
      <x:c r="I14" s="14" t="str">
        <x:f>IF(B16&gt;=800,"Verde",IF(B16&gt;=600,"Amarillo","Rojo"))</x:f>
        <x:v>Verde</x:v>
      </x:c>
      <x:c r="J14" s="14"/>
      <x:c r="K14" s="14"/>
      <x:c r="L14" s="14"/>
      <x:c r="M14" s="14"/>
      <x:c r="N14" s="14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ht="20" customHeight="1">
      <x:c r="A15" s="6" t="str">
        <x:v>Referencias (0-1000)</x:v>
      </x:c>
      <x:c r="B15" s="10" t="n">
        <x:v>900</x:v>
      </x:c>
      <x:c r="C15" s="6"/>
      <x:c r="D15" s="6"/>
      <x:c r="E15" s="6"/>
      <x:c r="F15" s="6"/>
      <x:c r="G15" s="6"/>
      <x:c r="H15" s="10" t="str">
        <x:v>Riesgo operativo</x:v>
      </x:c>
      <x:c r="I15" s="10" t="str">
        <x:f>IF(OR(B14&lt;500,B16&lt;600),"Revisión manual",IF(B14&lt;650,"Seguimiento reforzado","Automático"))</x:f>
        <x:v>Automático</x:v>
      </x:c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ht="20" customHeight="1">
      <x:c r="A16" s="6" t="str">
        <x:v>Geolocalización (0-1000)</x:v>
      </x:c>
      <x:c r="B16" s="10" t="n">
        <x:v>850</x:v>
      </x:c>
      <x:c r="C16" s="6"/>
      <x:c r="D16" s="6"/>
      <x:c r="E16" s="6"/>
      <x:c r="F16" s="6"/>
      <x:c r="G16" s="6"/>
      <x:c r="H16" s="10" t="str">
        <x:v>Banda</x:v>
      </x:c>
      <x:c r="I16" s="10" t="str">
        <x:v>Rango score</x:v>
      </x:c>
      <x:c r="J16" s="10" t="str">
        <x:v>Monto máximo banda</x:v>
      </x:c>
      <x:c r="K16" s="10" t="str">
        <x:v>Plazo máximo banda</x:v>
      </x:c>
      <x:c r="L16" s="10" t="str">
        <x:v>TEA sugerida</x:v>
      </x:c>
      <x:c r="M16" s="10" t="str">
        <x:v>Cuota estimada 1M</x:v>
      </x:c>
      <x:c r="N16" s="10" t="str">
        <x:v>Elegible</x:v>
      </x:c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</x:row>
    <x:row r="17" ht="20" customHeight="1">
      <x:c r="A17" s="6" t="str">
        <x:v>Ingreso neto mensual</x:v>
      </x:c>
      <x:c r="B17" s="16" t="n">
        <x:v>2800000</x:v>
      </x:c>
      <x:c r="C17" s="6"/>
      <x:c r="D17" s="6"/>
      <x:c r="E17" s="6"/>
      <x:c r="F17" s="6"/>
      <x:c r="G17" s="6"/>
      <x:c r="H17" s="10" t="str">
        <x:v>Premium</x:v>
      </x:c>
      <x:c r="I17" s="10" t="str">
        <x:v>&gt;=850</x:v>
      </x:c>
      <x:c r="J17" s="16" t="n">
        <x:f>MIN($B$5,2000000)</x:f>
        <x:v>2000000</x:v>
      </x:c>
      <x:c r="K17" s="18" t="n">
        <x:v>6</x:v>
      </x:c>
      <x:c r="L17" s="26" t="n">
        <x:f>$B$7</x:f>
        <x:v>0.24</x:v>
      </x:c>
      <x:c r="M17" s="26" t="n">
        <x:f>PMT(L17/12,K17,-1000000)</x:f>
        <x:v>178525.8123352025</x:v>
      </x:c>
      <x:c r="N17" s="10" t="str">
        <x:f>IF($I$12&gt;=850,"Sí","No")</x:f>
        <x:v>No</x:v>
      </x:c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ht="20" customHeight="1">
      <x:c r="A18" s="6" t="str">
        <x:v>Obligaciones mensuales actuales</x:v>
      </x:c>
      <x:c r="B18" s="16" t="n">
        <x:v>650000</x:v>
      </x:c>
      <x:c r="C18" s="6"/>
      <x:c r="D18" s="6"/>
      <x:c r="E18" s="6"/>
      <x:c r="F18" s="6"/>
      <x:c r="G18" s="6"/>
      <x:c r="H18" s="10" t="str">
        <x:v>Alta</x:v>
      </x:c>
      <x:c r="I18" s="10" t="str">
        <x:v>750-849</x:v>
      </x:c>
      <x:c r="J18" s="16" t="n">
        <x:f>MIN($B$5,1500000)</x:f>
        <x:v>1500000</x:v>
      </x:c>
      <x:c r="K18" s="18" t="n">
        <x:v>6</x:v>
      </x:c>
      <x:c r="L18" s="26" t="n">
        <x:f>$B$7</x:f>
        <x:v>0.24</x:v>
      </x:c>
      <x:c r="M18" s="26" t="n">
        <x:f>PMT(L18/12,K18,-1000000)</x:f>
        <x:v>178525.8123352025</x:v>
      </x:c>
      <x:c r="N18" s="10" t="str">
        <x:f>IF(AND($I$12&gt;=750,$I$12&lt;850),"Sí","No")</x:f>
        <x:v>No</x:v>
      </x:c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ht="20" customHeight="1">
      <x:c r="A19" s="6" t="str">
        <x:v>Monto solicitado</x:v>
      </x:c>
      <x:c r="B19" s="16" t="n">
        <x:v>1800000</x:v>
      </x:c>
      <x:c r="C19" s="6"/>
      <x:c r="D19" s="6"/>
      <x:c r="E19" s="6"/>
      <x:c r="F19" s="6"/>
      <x:c r="G19" s="6"/>
      <x:c r="H19" s="10" t="str">
        <x:v>Media</x:v>
      </x:c>
      <x:c r="I19" s="10" t="str">
        <x:v>680-749</x:v>
      </x:c>
      <x:c r="J19" s="16" t="n">
        <x:f>MIN($B$5,1000000)</x:f>
        <x:v>1000000</x:v>
      </x:c>
      <x:c r="K19" s="18" t="n">
        <x:v>4</x:v>
      </x:c>
      <x:c r="L19" s="26" t="n">
        <x:f>$B$8</x:f>
        <x:v>0.3</x:v>
      </x:c>
      <x:c r="M19" s="26" t="n">
        <x:f>PMT(L19/12,K19,-1000000)</x:f>
        <x:v>265817.87771719706</x:v>
      </x:c>
      <x:c r="N19" s="10" t="str">
        <x:f>IF(AND($I$12&gt;=680,$I$12&lt;750),"Sí","No")</x:f>
        <x:v>Sí</x:v>
      </x:c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ht="20" customHeight="1">
      <x:c r="A20" s="6" t="str">
        <x:v>Plazo solicitado (meses)</x:v>
      </x:c>
      <x:c r="B20" s="10" t="n">
        <x:v>6</x:v>
      </x:c>
      <x:c r="C20" s="6"/>
      <x:c r="D20" s="6"/>
      <x:c r="E20" s="6"/>
      <x:c r="F20" s="6"/>
      <x:c r="G20" s="6"/>
      <x:c r="H20" s="10" t="str">
        <x:v>Entrada</x:v>
      </x:c>
      <x:c r="I20" s="10" t="str">
        <x:v>600-679</x:v>
      </x:c>
      <x:c r="J20" s="16" t="n">
        <x:f>MIN($B$5,500000)</x:f>
        <x:v>500000</x:v>
      </x:c>
      <x:c r="K20" s="18" t="n">
        <x:v>3</x:v>
      </x:c>
      <x:c r="L20" s="26" t="n">
        <x:f>$B$9</x:f>
        <x:v>0.36</x:v>
      </x:c>
      <x:c r="M20" s="26" t="n">
        <x:f>PMT(L20/12,K20,-1000000)</x:f>
        <x:v>353530.363324598</x:v>
      </x:c>
      <x:c r="N20" s="10" t="str">
        <x:f>IF(AND($I$12&gt;=600,$I$12&lt;680),"Sí","No")</x:f>
        <x:v>No</x:v>
      </x:c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 ht="20" customHeight="1">
      <x:c r="A21" s="6" t="str">
        <x:v>Penalización geo (0 o -80)</x:v>
      </x:c>
      <x:c r="B21" s="6" t="n">
        <x:f>IF(B16&lt;600,-80,0)</x:f>
        <x:v>0</x:v>
      </x:c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 ht="20" customHeight="1">
      <x:c r="A22" s="14" t="str">
        <x:v>Ingreso disponible</x:v>
      </x:c>
      <x:c r="B22" s="14" t="n">
        <x:f>B17-B18</x:f>
        <x:v>2150000</x:v>
      </x:c>
      <x:c r="C22" s="14"/>
      <x:c r="D22" s="14"/>
      <x:c r="E22" s="14"/>
      <x:c r="F22" s="14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ht="20" customHeight="1">
      <x:c r="A23" s="6" t="str">
        <x:v>Score final</x:v>
      </x:c>
      <x:c r="B23" s="6" t="n">
        <x:f>I12</x:f>
        <x:v>732.1999999999999</x:v>
      </x:c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ht="20" customHeight="1">
      <x:c r="A24" s="6" t="str">
        <x:v>Monto teórico por banda</x:v>
      </x:c>
      <x:c r="B24" s="22" t="n">
        <x:f>IF(I12&gt;=850,MIN($B$5,2000000),IF(I12&gt;=750,MIN($B$5,1500000),IF(I12&gt;=680,MIN($B$5,1000000),IF(I12&gt;=600,MIN($B$5,500000),0))))</x:f>
        <x:v>1000000</x:v>
      </x:c>
      <x:c r="C24" s="6"/>
      <x:c r="D24" s="6"/>
      <x:c r="E24" s="6"/>
      <x:c r="F24" s="6"/>
      <x:c r="G24" s="6"/>
      <x:c r="H24" s="14" t="str">
        <x:v>Resumen ejecutivo</x:v>
      </x:c>
      <x:c r="I24" s="14"/>
      <x:c r="J24" s="14"/>
      <x:c r="K24" s="14"/>
      <x:c r="L24" s="14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ht="20" customHeight="1">
      <x:c r="A25" s="6" t="str">
        <x:v>Monto por capacidad</x:v>
      </x:c>
      <x:c r="B25" s="22" t="n">
        <x:f>MAX(0,MIN($B$5,(B22*$B$10*B20)))</x:f>
        <x:v>2000000</x:v>
      </x:c>
      <x:c r="C25" s="6"/>
      <x:c r="D25" s="6"/>
      <x:c r="E25" s="6"/>
      <x:c r="F25" s="6"/>
      <x:c r="G25" s="6"/>
      <x:c r="H25" s="10" t="str">
        <x:v>Estado final</x:v>
      </x:c>
      <x:c r="I25" s="10" t="str">
        <x:f>IF(AND(B26&gt;0,B27&gt;0,B32="Cumple",I13&lt;&gt;"Rechazado"),"Oferta viable","No viable / revisar")</x:f>
        <x:v>Oferta viable</x:v>
      </x:c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ht="20" customHeight="1">
      <x:c r="A26" s="6" t="str">
        <x:v>Monto aprobado final</x:v>
      </x:c>
      <x:c r="B26" s="22" t="n">
        <x:f>MIN(B19,B24,B25,$B$5)</x:f>
        <x:v>1000000</x:v>
      </x:c>
      <x:c r="C26" s="6"/>
      <x:c r="D26" s="6"/>
      <x:c r="E26" s="6"/>
      <x:c r="F26" s="6"/>
      <x:c r="G26" s="6"/>
      <x:c r="H26" s="10" t="str">
        <x:v>Ruta recomendada</x:v>
      </x:c>
      <x:c r="I26" s="10" t="str">
        <x:f>IF(I25="Oferta viable",IF(I15="Automático","Aprobación automática","Aprobación con seguimiento"),"Revisión manual o rechazo")</x:f>
        <x:v>Aprobación automática</x:v>
      </x:c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ht="20" customHeight="1">
      <x:c r="A27" s="6" t="str">
        <x:v>Plazo aprobado final</x:v>
      </x:c>
      <x:c r="B27" s="22" t="n">
        <x:f>MIN(B20,IF(I12&gt;=750,6,IF(I12&gt;=680,4,IF(I12&gt;=600,3,0))),$B$6)</x:f>
        <x:v>4</x:v>
      </x:c>
      <x:c r="C27" s="6"/>
      <x:c r="D27" s="6"/>
      <x:c r="E27" s="6"/>
      <x:c r="F27" s="6"/>
      <x:c r="G27" s="6"/>
      <x:c r="H27" s="10" t="str">
        <x:v>Observación</x:v>
      </x:c>
      <x:c r="I27" s="10" t="str">
        <x:f>IF(I25="Oferta viable","Ofertar monto/plazo calculados y enviar a firma","Solicitar ajuste de monto, soportes o revisión de riesgo")</x:f>
        <x:v>Ofertar monto/plazo calculados y enviar a firma</x:v>
      </x:c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ht="20" customHeight="1">
      <x:c r="A28" s="6" t="str">
        <x:v>TEA aplicada</x:v>
      </x:c>
      <x:c r="B28" s="22" t="n">
        <x:f>IF(I12&gt;=750,$B$7,IF(I12&gt;=600,$B$8,$B$9))</x:f>
        <x:v>0.3</x:v>
      </x:c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ht="20" customHeight="1">
      <x:c r="A29" s="6" t="str">
        <x:v>Tasa mensual</x:v>
      </x:c>
      <x:c r="B29" s="24" t="n">
        <x:f>B28/12</x:f>
        <x:v>0.024999999999999998</x:v>
      </x:c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ht="20" customHeight="1">
      <x:c r="A30" s="6" t="str">
        <x:v>Cuota estimada</x:v>
      </x:c>
      <x:c r="B30" s="24" t="n">
        <x:f>IF(OR(B26=0,B27=0),"",PMT(B29,B27,-B26))</x:f>
        <x:v>265817.87771719706</x:v>
      </x:c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ht="20" customHeight="1">
      <x:c r="A31" s="6" t="str">
        <x:v>% cuota / ingreso disponible</x:v>
      </x:c>
      <x:c r="B31" s="24" t="n">
        <x:f>IF(B22&lt;=0,"",ABS(B30)/B22)</x:f>
        <x:v>0.12363622219404515</x:v>
      </x:c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ht="20" customHeight="1">
      <x:c r="A32" s="6" t="str">
        <x:v>Viabilidad cuota</x:v>
      </x:c>
      <x:c r="B32" s="6" t="str">
        <x:f>IF(B30="","Sin oferta",IF(B31&lt;=$B$10,"Cumple","No cumple"))</x:f>
        <x:v>Cumple</x:v>
      </x:c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ht="20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ht="20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ht="20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ht="20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ht="20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ht="20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ht="20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ht="20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</x:sheetData>
  <x:mergeCells>
    <x:mergeCell ref="A1:L1"/>
    <x:mergeCell ref="A2:L2"/>
    <x:mergeCell ref="A4:F4"/>
    <x:mergeCell ref="A10:F10"/>
    <x:mergeCell ref="A22:F22"/>
    <x:mergeCell ref="H4:L4"/>
    <x:mergeCell ref="H14:N14"/>
    <x:mergeCell ref="H24:L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290000915527344" hidden="0" customWidth="1"/>
    <x:col min="2" max="2" width="10.430000305175781" hidden="0" customWidth="1"/>
    <x:col min="3" max="3" width="21.290000915527344" hidden="0" customWidth="1"/>
    <x:col min="4" max="4" width="30.290000915527344" hidden="0" customWidth="1"/>
    <x:col min="5" max="5" width="18.43000030517578" hidden="0" customWidth="1"/>
    <x:col min="6" max="6" width="19.139999389648438" hidden="0" customWidth="1"/>
    <x:col min="7" max="7" width="26" hidden="0" customWidth="1"/>
  </x:cols>
  <x:sheetData>
    <x:row r="1" ht="20" customHeight="1">
      <x:c r="A1" s="12" t="str">
        <x:v>Componente</x:v>
      </x:c>
      <x:c r="B1" s="12" t="str">
        <x:v>Peso</x:v>
      </x:c>
      <x:c r="C1" s="12" t="str">
        <x:v>Transformación sugerida</x:v>
      </x:c>
      <x:c r="D1" s="12" t="str">
        <x:v>Regla crítica</x:v>
      </x:c>
      <x:c r="E1" s="12" t="str">
        <x:v>Escala</x:v>
      </x:c>
      <x:c r="F1" s="12" t="str">
        <x:v>Acción automática</x:v>
      </x:c>
      <x:c r="G1" s="12" t="str">
        <x:v>Comentario</x:v>
      </x:c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0" customHeight="1">
      <x:c r="A2" s="6" t="str">
        <x:v>Datacrédito</x:v>
      </x:c>
      <x:c r="B2" s="24" t="n">
        <x:v>0.45</x:v>
      </x:c>
      <x:c r="C2" s="6" t="str">
        <x:v>Valor directo 0-1000</x:v>
      </x:c>
      <x:c r="D2" s="6" t="str">
        <x:v>Si mora severa, revisar</x:v>
      </x:c>
      <x:c r="E2" s="6" t="str">
        <x:v>0-1000</x:v>
      </x:c>
      <x:c r="F2" s="6" t="str">
        <x:v>Ajusta banda de monto</x:v>
      </x:c>
      <x:c r="G2" s="6" t="str">
        <x:v>Columna vertebral del modelo</x:v>
      </x:c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ht="20" customHeight="1">
      <x:c r="A3" s="6" t="str">
        <x:v>Capacidad</x:v>
      </x:c>
      <x:c r="B3" s="24" t="n">
        <x:v>0.3</x:v>
      </x:c>
      <x:c r="C3" s="6" t="str">
        <x:v>0-1000 + validación cuota</x:v>
      </x:c>
      <x:c r="D3" s="6" t="str">
        <x:v>Si cuota/ingreso &gt; 25%, no viable</x:v>
      </x:c>
      <x:c r="E3" s="6" t="str">
        <x:v>0-1000</x:v>
      </x:c>
      <x:c r="F3" s="6" t="str">
        <x:v>Recorta monto y plazo</x:v>
      </x:c>
      <x:c r="G3" s="6" t="str">
        <x:v>Prioritario para producto corto</x:v>
      </x:c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ht="20" customHeight="1">
      <x:c r="A4" s="6" t="str">
        <x:v>Comportamiento digital</x:v>
      </x:c>
      <x:c r="B4" s="24" t="n">
        <x:v>0.08</x:v>
      </x:c>
      <x:c r="C4" s="6" t="str">
        <x:v>0-1000</x:v>
      </x:c>
      <x:c r="D4" s="6" t="str">
        <x:v>Patrones sospechosos envían a revisión</x:v>
      </x:c>
      <x:c r="E4" s="6" t="str">
        <x:v>0-1000</x:v>
      </x:c>
      <x:c r="F4" s="6" t="str">
        <x:v>Penaliza score</x:v>
      </x:c>
      <x:c r="G4" s="6" t="str">
        <x:v>No debe dominar el modelo</x:v>
      </x:c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ht="20" customHeight="1">
      <x:c r="A5" s="6" t="str">
        <x:v>Riesgo / fraude</x:v>
      </x:c>
      <x:c r="B5" s="24" t="n">
        <x:v>0.12</x:v>
      </x:c>
      <x:c r="C5" s="6" t="str">
        <x:v>0-1000</x:v>
      </x:c>
      <x:c r="D5" s="6" t="str">
        <x:v>Valores bajos requieren revisión</x:v>
      </x:c>
      <x:c r="E5" s="6" t="str">
        <x:v>0-1000</x:v>
      </x:c>
      <x:c r="F5" s="6" t="str">
        <x:v>Puede bloquear</x:v>
      </x:c>
      <x:c r="G5" s="6" t="str">
        <x:v>Incluye device/IP/OTP</x:v>
      </x:c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ht="20" customHeight="1">
      <x:c r="A6" s="6" t="str">
        <x:v>Referencias</x:v>
      </x:c>
      <x:c r="B6" s="24" t="n">
        <x:v>0.05</x:v>
      </x:c>
      <x:c r="C6" s="6" t="str">
        <x:v>0-1000</x:v>
      </x:c>
      <x:c r="D6" s="6" t="str">
        <x:v>No rechaza por sí solo</x:v>
      </x:c>
      <x:c r="E6" s="6" t="str">
        <x:v>0-1000</x:v>
      </x:c>
      <x:c r="F6" s="6" t="str">
        <x:v>Solo acompaña decisión</x:v>
      </x:c>
      <x:c r="G6" s="6" t="str">
        <x:v>Peso bajo</x:v>
      </x:c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ht="20" customHeight="1">
      <x:c r="A7" s="6" t="str">
        <x:v>Geolocalización</x:v>
      </x:c>
      <x:c r="B7" s="24" t="n">
        <x:v>0</x:v>
      </x:c>
      <x:c r="C7" s="6" t="str">
        <x:v>Semáforo + penalización</x:v>
      </x:c>
      <x:c r="D7" s="6" t="str">
        <x:v>Si &lt;600 aplica -80</x:v>
      </x:c>
      <x:c r="E7" s="6" t="str">
        <x:v>0-1000</x:v>
      </x:c>
      <x:c r="F7" s="6" t="str">
        <x:v>Revisión manual</x:v>
      </x:c>
      <x:c r="G7" s="6" t="str">
        <x:v>Se usa como regla, no como score</x:v>
      </x:c>
      <x:c r="H7" s="6"/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ht="20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 ht="20" customHeight="1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 ht="20" customHeight="1">
      <x:c r="A10" s="12" t="str">
        <x:v>Banda</x:v>
      </x:c>
      <x:c r="B10" s="12" t="str">
        <x:v>Rango score</x:v>
      </x:c>
      <x:c r="C10" s="12" t="str">
        <x:v>Monto máximo</x:v>
      </x:c>
      <x:c r="D10" s="12" t="str">
        <x:v>Plazo</x:v>
      </x:c>
      <x:c r="E10" s="12" t="str">
        <x:v>Criterio</x:v>
      </x:c>
      <x:c r="F10" s="12" t="str">
        <x:v>Canal</x:v>
      </x:c>
      <x:c r="G10" s="12" t="str">
        <x:v>Resultado esperado</x:v>
      </x:c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ht="20" customHeight="1">
      <x:c r="A11" s="6" t="str">
        <x:v>Premium</x:v>
      </x:c>
      <x:c r="B11" s="6" t="str">
        <x:v>&gt;=850</x:v>
      </x:c>
      <x:c r="C11" s="28" t="n">
        <x:v>2000000</x:v>
      </x:c>
      <x:c r="D11" s="6" t="n">
        <x:v>6</x:v>
      </x:c>
      <x:c r="E11" s="6" t="str">
        <x:v>Aprobación directa</x:v>
      </x:c>
      <x:c r="F11" s="6" t="str">
        <x:v>Automático</x:v>
      </x:c>
      <x:c r="G11" s="6" t="str">
        <x:v>Alta conversión</x:v>
      </x:c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ht="20" customHeight="1">
      <x:c r="A12" s="6" t="str">
        <x:v>Alta</x:v>
      </x:c>
      <x:c r="B12" s="6" t="str">
        <x:v>750-849</x:v>
      </x:c>
      <x:c r="C12" s="28" t="n">
        <x:v>1500000</x:v>
      </x:c>
      <x:c r="D12" s="6" t="n">
        <x:v>6</x:v>
      </x:c>
      <x:c r="E12" s="6" t="str">
        <x:v>Aprobación estándar</x:v>
      </x:c>
      <x:c r="F12" s="6" t="str">
        <x:v>Automático</x:v>
      </x:c>
      <x:c r="G12" s="6" t="str">
        <x:v>Oferta competitiva</x:v>
      </x:c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</x:row>
    <x:row r="13" ht="20" customHeight="1">
      <x:c r="A13" s="6" t="str">
        <x:v>Media</x:v>
      </x:c>
      <x:c r="B13" s="6" t="str">
        <x:v>680-749</x:v>
      </x:c>
      <x:c r="C13" s="28" t="n">
        <x:v>1000000</x:v>
      </x:c>
      <x:c r="D13" s="6" t="n">
        <x:v>4</x:v>
      </x:c>
      <x:c r="E13" s="6" t="str">
        <x:v>Oferta prudente</x:v>
      </x:c>
      <x:c r="F13" s="6" t="str">
        <x:v>Automático/seguimiento</x:v>
      </x:c>
      <x:c r="G13" s="6" t="str">
        <x:v>Control de mora</x:v>
      </x:c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ht="20" customHeight="1">
      <x:c r="A14" s="6" t="str">
        <x:v>Entrada</x:v>
      </x:c>
      <x:c r="B14" s="6" t="str">
        <x:v>600-679</x:v>
      </x:c>
      <x:c r="C14" s="28" t="n">
        <x:v>500000</x:v>
      </x:c>
      <x:c r="D14" s="6" t="n">
        <x:v>3</x:v>
      </x:c>
      <x:c r="E14" s="6" t="str">
        <x:v>Aprobado condicionado</x:v>
      </x:c>
      <x:c r="F14" s="6" t="str">
        <x:v>Seguimiento</x:v>
      </x:c>
      <x:c r="G14" s="6" t="str">
        <x:v>Aprendizaje de cartera</x:v>
      </x:c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ht="20" customHeight="1">
      <x:c r="A15" s="6" t="str">
        <x:v>Revisión</x:v>
      </x:c>
      <x:c r="B15" s="6" t="str">
        <x:v>&lt;600</x:v>
      </x:c>
      <x:c r="C15" s="28" t="n">
        <x:v>0</x:v>
      </x:c>
      <x:c r="D15" s="6" t="n">
        <x:v>0</x:v>
      </x:c>
      <x:c r="E15" s="6" t="str">
        <x:v>No oferta automática</x:v>
      </x:c>
      <x:c r="F15" s="6" t="str">
        <x:v>Manual</x:v>
      </x:c>
      <x:c r="G15" s="6" t="str">
        <x:v>Rechazo o soportes</x:v>
      </x:c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ht="20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</x:row>
    <x:row r="17" ht="20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ht="20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ht="20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ht="20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 ht="20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 ht="20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ht="20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ht="20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ht="20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ht="20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ht="20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ht="20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ht="20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ht="20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ht="20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ht="20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ht="20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ht="20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ht="20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ht="20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ht="20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ht="20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ht="20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ht="20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.709999084472656" hidden="0" customWidth="1"/>
    <x:col min="3" max="3" width="20.139999389648438" hidden="0" customWidth="1"/>
    <x:col min="4" max="4" width="9.569999694824219" hidden="0" customWidth="1"/>
    <x:col min="5" max="5" width="10.710000038146973" hidden="0" customWidth="1"/>
    <x:col min="6" max="6" width="12" hidden="0" customWidth="1"/>
    <x:col min="7" max="7" width="34.709999084472656" hidden="0" customWidth="1"/>
    <x:col min="8" max="8" width="19.290000915527344" hidden="0" customWidth="1"/>
  </x:cols>
  <x:sheetData>
    <x:row r="1" ht="20" customHeight="1">
      <x:c r="A1" s="12" t="str">
        <x:v>Variable funcional</x:v>
      </x:c>
      <x:c r="B1" s="12" t="str">
        <x:v>Campo técnico sugerido</x:v>
      </x:c>
      <x:c r="C1" s="12" t="str">
        <x:v>Uso en modelo</x:v>
      </x:c>
      <x:c r="D1" s="12" t="str">
        <x:v>Obligatoria</x:v>
      </x:c>
      <x:c r="E1" s="12" t="str">
        <x:v>Rango / tipo</x:v>
      </x:c>
      <x:c r="F1" s="12" t="str">
        <x:v>Peso sugerido</x:v>
      </x:c>
      <x:c r="G1" s="12" t="str">
        <x:v>Observación</x:v>
      </x:c>
      <x:c r="H1" s="12" t="str">
        <x:v>Fuente / responsable</x:v>
      </x:c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</x:row>
    <x:row r="2" ht="20" customHeight="1">
      <x:c r="A2" s="6" t="str">
        <x:v>Score crediticio</x:v>
      </x:c>
      <x:c r="B2" s="6" t="str">
        <x:v>dc_score</x:v>
      </x:c>
      <x:c r="C2" s="6" t="str">
        <x:v>Score principal</x:v>
      </x:c>
      <x:c r="D2" s="6" t="str">
        <x:v>Sí</x:v>
      </x:c>
      <x:c r="E2" s="6" t="str">
        <x:v>0-1000</x:v>
      </x:c>
      <x:c r="F2" s="6" t="str">
        <x:v>45%</x:v>
      </x:c>
      <x:c r="G2" s="6" t="str">
        <x:v>Variable principal del motor</x:v>
      </x:c>
      <x:c r="H2" s="6" t="str">
        <x:v>Datacrédito / Integración</x:v>
      </x:c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</x:row>
    <x:row r="3" ht="20" customHeight="1">
      <x:c r="A3" s="6" t="str">
        <x:v>Mora actual</x:v>
      </x:c>
      <x:c r="B3" s="6" t="str">
        <x:v>dc_dias_mora_max</x:v>
      </x:c>
      <x:c r="C3" s="6" t="str">
        <x:v>Regla antifraude / rechazo</x:v>
      </x:c>
      <x:c r="D3" s="6" t="str">
        <x:v>Sí</x:v>
      </x:c>
      <x:c r="E3" s="6" t="str">
        <x:v>Numérico</x:v>
      </x:c>
      <x:c r="F3" s="6" t="str">
        <x:v>Regla</x:v>
      </x:c>
      <x:c r="G3" s="6" t="str">
        <x:v>Si supera umbral puede enviar a revisión</x:v>
      </x:c>
      <x:c r="H3" s="6" t="str">
        <x:v>Datacrédito</x:v>
      </x:c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 ht="20" customHeight="1">
      <x:c r="A4" s="6" t="str">
        <x:v>Saldo total obligaciones</x:v>
      </x:c>
      <x:c r="B4" s="6" t="str">
        <x:v>dc_saldo_total</x:v>
      </x:c>
      <x:c r="C4" s="6" t="str">
        <x:v>Capacidad</x:v>
      </x:c>
      <x:c r="D4" s="6" t="str">
        <x:v>Sí</x:v>
      </x:c>
      <x:c r="E4" s="6" t="str">
        <x:v>Moneda</x:v>
      </x:c>
      <x:c r="F4" s="6" t="str">
        <x:v>Indirecto</x:v>
      </x:c>
      <x:c r="G4" s="6" t="str">
        <x:v>Cruzar con obligaciones declaradas</x:v>
      </x:c>
      <x:c r="H4" s="6" t="str">
        <x:v>Datacrédito + formulario</x:v>
      </x:c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</x:row>
    <x:row r="5" ht="20" customHeight="1">
      <x:c r="A5" s="6" t="str">
        <x:v>Cuota mensual reportada</x:v>
      </x:c>
      <x:c r="B5" s="6" t="str">
        <x:v>dc_cuota_mensual</x:v>
      </x:c>
      <x:c r="C5" s="6" t="str">
        <x:v>Capacidad</x:v>
      </x:c>
      <x:c r="D5" s="6" t="str">
        <x:v>Sí</x:v>
      </x:c>
      <x:c r="E5" s="6" t="str">
        <x:v>Moneda</x:v>
      </x:c>
      <x:c r="F5" s="6" t="str">
        <x:v>Indirecto</x:v>
      </x:c>
      <x:c r="G5" s="6" t="str">
        <x:v>Permite validar ingreso disponible</x:v>
      </x:c>
      <x:c r="H5" s="6" t="str">
        <x:v>Datacrédito</x:v>
      </x:c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</x:row>
    <x:row r="6" ht="20" customHeight="1">
      <x:c r="A6" s="6" t="str">
        <x:v>Cantidad obligaciones vigentes</x:v>
      </x:c>
      <x:c r="B6" s="6" t="str">
        <x:v>dc_num_obligaciones</x:v>
      </x:c>
      <x:c r="C6" s="6" t="str">
        <x:v>Riesgo</x:v>
      </x:c>
      <x:c r="D6" s="6" t="str">
        <x:v>Sí</x:v>
      </x:c>
      <x:c r="E6" s="6" t="str">
        <x:v>Numérico</x:v>
      </x:c>
      <x:c r="F6" s="6" t="str">
        <x:v>Indirecto</x:v>
      </x:c>
      <x:c r="G6" s="6" t="str">
        <x:v>Puede ajustar bandas</x:v>
      </x:c>
      <x:c r="H6" s="6" t="str">
        <x:v>Datacrédito</x:v>
      </x:c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  <x:c r="W6" s="6"/>
      <x:c r="X6" s="6"/>
      <x:c r="Y6" s="6"/>
      <x:c r="Z6" s="6"/>
    </x:row>
    <x:row r="7" ht="20" customHeight="1">
      <x:c r="A7" s="6" t="str">
        <x:v>Consultas recientes</x:v>
      </x:c>
      <x:c r="B7" s="6" t="str">
        <x:v>dc_num_consultas_90d</x:v>
      </x:c>
      <x:c r="C7" s="6" t="str">
        <x:v>Riesgo</x:v>
      </x:c>
      <x:c r="D7" s="6" t="str">
        <x:v>Opcional</x:v>
      </x:c>
      <x:c r="E7" s="6" t="str">
        <x:v>Numérico</x:v>
      </x:c>
      <x:c r="F7" s="6" t="str">
        <x:v>Indirecto</x:v>
      </x:c>
      <x:c r="G7" s="6" t="str">
        <x:v>Útil para sobreendeudamiento</x:v>
      </x:c>
      <x:c r="H7" s="6" t="str">
        <x:v>Datacrédito</x:v>
      </x:c>
      <x:c r="I7" s="6"/>
      <x:c r="J7" s="6"/>
      <x:c r="K7" s="6"/>
      <x:c r="L7" s="6"/>
      <x:c r="M7" s="6"/>
      <x:c r="N7" s="6"/>
      <x:c r="O7" s="6"/>
      <x:c r="P7" s="6"/>
      <x:c r="Q7" s="6"/>
      <x:c r="R7" s="6"/>
      <x:c r="S7" s="6"/>
      <x:c r="T7" s="6"/>
      <x:c r="U7" s="6"/>
      <x:c r="V7" s="6"/>
      <x:c r="W7" s="6"/>
      <x:c r="X7" s="6"/>
      <x:c r="Y7" s="6"/>
      <x:c r="Z7" s="6"/>
    </x:row>
    <x:row r="8" ht="20" customHeight="1">
      <x:c r="A8" s="6" t="str">
        <x:v>Tipo documento validado</x:v>
      </x:c>
      <x:c r="B8" s="6" t="str">
        <x:v>dc_tipo_id</x:v>
      </x:c>
      <x:c r="C8" s="6" t="str">
        <x:v>Identidad</x:v>
      </x:c>
      <x:c r="D8" s="6" t="str">
        <x:v>Sí</x:v>
      </x:c>
      <x:c r="E8" s="6" t="str">
        <x:v>Texto</x:v>
      </x:c>
      <x:c r="F8" s="6" t="str">
        <x:v>Regla</x:v>
      </x:c>
      <x:c r="G8" s="6" t="str">
        <x:v>Debe coincidir con solicitud</x:v>
      </x:c>
      <x:c r="H8" s="6" t="str">
        <x:v>Datacrédito / formulario</x:v>
      </x:c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  <x:c r="W8" s="6"/>
      <x:c r="X8" s="6"/>
      <x:c r="Y8" s="6"/>
      <x:c r="Z8" s="6"/>
    </x:row>
    <x:row r="9" ht="20" customHeight="1">
      <x:c r="A9" s="6" t="str">
        <x:v>Número documento validado</x:v>
      </x:c>
      <x:c r="B9" s="6" t="str">
        <x:v>dc_numero_id</x:v>
      </x:c>
      <x:c r="C9" s="6" t="str">
        <x:v>Identidad</x:v>
      </x:c>
      <x:c r="D9" s="6" t="str">
        <x:v>Sí</x:v>
      </x:c>
      <x:c r="E9" s="6" t="str">
        <x:v>Texto</x:v>
      </x:c>
      <x:c r="F9" s="6" t="str">
        <x:v>Regla</x:v>
      </x:c>
      <x:c r="G9" s="6" t="str">
        <x:v>Coincidencia exacta</x:v>
      </x:c>
      <x:c r="H9" s="6" t="str">
        <x:v>Datacrédito / formulario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6"/>
      <x:c r="V9" s="6"/>
      <x:c r="W9" s="6"/>
      <x:c r="X9" s="6"/>
      <x:c r="Y9" s="6"/>
      <x:c r="Z9" s="6"/>
    </x:row>
    <x:row r="10" ht="20" customHeight="1">
      <x:c r="A10" s="6" t="str">
        <x:v>Nombre completo validado</x:v>
      </x:c>
      <x:c r="B10" s="6" t="str">
        <x:v>dc_nombre_completo</x:v>
      </x:c>
      <x:c r="C10" s="6" t="str">
        <x:v>Identidad</x:v>
      </x:c>
      <x:c r="D10" s="6" t="str">
        <x:v>Sí</x:v>
      </x:c>
      <x:c r="E10" s="6" t="str">
        <x:v>Texto</x:v>
      </x:c>
      <x:c r="F10" s="6" t="str">
        <x:v>Regla</x:v>
      </x:c>
      <x:c r="G10" s="6" t="str">
        <x:v>Coherencia con formulario y firma</x:v>
      </x:c>
      <x:c r="H10" s="6" t="str">
        <x:v>Datacrédito / formulario</x:v>
      </x:c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  <x:c r="W10" s="6"/>
      <x:c r="X10" s="6"/>
      <x:c r="Y10" s="6"/>
      <x:c r="Z10" s="6"/>
    </x:row>
    <x:row r="11" ht="20" customHeight="1">
      <x:c r="A11" s="6" t="str">
        <x:v>Edad / rango edad</x:v>
      </x:c>
      <x:c r="B11" s="6" t="str">
        <x:v>dc_edad</x:v>
      </x:c>
      <x:c r="C11" s="6" t="str">
        <x:v>Política</x:v>
      </x:c>
      <x:c r="D11" s="6" t="str">
        <x:v>Opcional</x:v>
      </x:c>
      <x:c r="E11" s="6" t="str">
        <x:v>Numérico</x:v>
      </x:c>
      <x:c r="F11" s="6" t="str">
        <x:v>Regla</x:v>
      </x:c>
      <x:c r="G11" s="6" t="str">
        <x:v>Se puede usar como política mínima/máxima</x:v>
      </x:c>
      <x:c r="H11" s="6" t="str">
        <x:v>Datacrédito</x:v>
      </x:c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  <x:c r="U11" s="6"/>
      <x:c r="V11" s="6"/>
      <x:c r="W11" s="6"/>
      <x:c r="X11" s="6"/>
      <x:c r="Y11" s="6"/>
      <x:c r="Z11" s="6"/>
    </x:row>
    <x:row r="12" ht="20" customHeight="1">
      <x:c r="A12" s="6" t="str">
        <x:v>Ingresos estimados</x:v>
      </x:c>
      <x:c r="B12" s="6" t="str">
        <x:v>dc_ingresos_estimados</x:v>
      </x:c>
      <x:c r="C12" s="6" t="str">
        <x:v>Capacidad</x:v>
      </x:c>
      <x:c r="D12" s="6" t="str">
        <x:v>Opcional</x:v>
      </x:c>
      <x:c r="E12" s="6" t="str">
        <x:v>Moneda</x:v>
      </x:c>
      <x:c r="F12" s="6" t="str">
        <x:v>Indirecto</x:v>
      </x:c>
      <x:c r="G12" s="6" t="str">
        <x:v>Comparar contra ingreso declarado</x:v>
      </x:c>
      <x:c r="H12" s="6" t="str">
        <x:v>Datacrédito</x:v>
      </x:c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</x:row>
    <x:row r="13" ht="20" customHeight="1">
      <x:c r="A13" s="6" t="str">
        <x:v>Nivel de endeudamiento</x:v>
      </x:c>
      <x:c r="B13" s="6" t="str">
        <x:v>dc_nivel_endeudamiento</x:v>
      </x:c>
      <x:c r="C13" s="6" t="str">
        <x:v>Capacidad</x:v>
      </x:c>
      <x:c r="D13" s="6" t="str">
        <x:v>Opcional</x:v>
      </x:c>
      <x:c r="E13" s="6" t="str">
        <x:v>Porcentaje</x:v>
      </x:c>
      <x:c r="F13" s="6" t="str">
        <x:v>Indirecto</x:v>
      </x:c>
      <x:c r="G13" s="6" t="str">
        <x:v>Útil para score secundario</x:v>
      </x:c>
      <x:c r="H13" s="6" t="str">
        <x:v>Datacrédito</x:v>
      </x:c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6"/>
      <x:c r="U13" s="6"/>
      <x:c r="V13" s="6"/>
      <x:c r="W13" s="6"/>
      <x:c r="X13" s="6"/>
      <x:c r="Y13" s="6"/>
      <x:c r="Z13" s="6"/>
    </x:row>
    <x:row r="14" ht="20" customHeight="1">
      <x:c r="A14" s="6" t="str">
        <x:v>Historial comportamiento pago</x:v>
      </x:c>
      <x:c r="B14" s="6" t="str">
        <x:v>dc_historial_pago</x:v>
      </x:c>
      <x:c r="C14" s="6" t="str">
        <x:v>Riesgo</x:v>
      </x:c>
      <x:c r="D14" s="6" t="str">
        <x:v>Opcional</x:v>
      </x:c>
      <x:c r="E14" s="6" t="str">
        <x:v>Categoría</x:v>
      </x:c>
      <x:c r="F14" s="6" t="str">
        <x:v>Indirecto</x:v>
      </x:c>
      <x:c r="G14" s="6" t="str">
        <x:v>Transformar a 0-1000</x:v>
      </x:c>
      <x:c r="H14" s="6" t="str">
        <x:v>Datacrédito</x:v>
      </x:c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  <x:c r="W14" s="6"/>
      <x:c r="X14" s="6"/>
      <x:c r="Y14" s="6"/>
      <x:c r="Z14" s="6"/>
    </x:row>
    <x:row r="15" ht="20" customHeight="1">
      <x:c r="A15" s="6" t="str">
        <x:v>Huellas de consulta</x:v>
      </x:c>
      <x:c r="B15" s="6" t="str">
        <x:v>dc_huellas_consulta</x:v>
      </x:c>
      <x:c r="C15" s="6" t="str">
        <x:v>Auditoría</x:v>
      </x:c>
      <x:c r="D15" s="6" t="str">
        <x:v>Opcional</x:v>
      </x:c>
      <x:c r="E15" s="6" t="str">
        <x:v>Texto/fecha</x:v>
      </x:c>
      <x:c r="F15" s="6" t="str">
        <x:v>0%</x:v>
      </x:c>
      <x:c r="G15" s="6" t="str">
        <x:v>No puntúa, sirve para trazabilidad</x:v>
      </x:c>
      <x:c r="H15" s="6" t="str">
        <x:v>Datacrédito</x:v>
      </x:c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6"/>
      <x:c r="U15" s="6"/>
      <x:c r="V15" s="6"/>
      <x:c r="W15" s="6"/>
      <x:c r="X15" s="6"/>
      <x:c r="Y15" s="6"/>
      <x:c r="Z15" s="6"/>
    </x:row>
    <x:row r="16" ht="20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  <x:c r="W16" s="6"/>
      <x:c r="X16" s="6"/>
      <x:c r="Y16" s="6"/>
      <x:c r="Z16" s="6"/>
    </x:row>
    <x:row r="17" ht="20" customHeight="1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  <x:c r="Q17" s="6"/>
      <x:c r="R17" s="6"/>
      <x:c r="S17" s="6"/>
      <x:c r="T17" s="6"/>
      <x:c r="U17" s="6"/>
      <x:c r="V17" s="6"/>
      <x:c r="W17" s="6"/>
      <x:c r="X17" s="6"/>
      <x:c r="Y17" s="6"/>
      <x:c r="Z17" s="6"/>
    </x:row>
    <x:row r="18" ht="20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  <x:c r="W18" s="6"/>
      <x:c r="X18" s="6"/>
      <x:c r="Y18" s="6"/>
      <x:c r="Z18" s="6"/>
    </x:row>
    <x:row r="19" ht="20" customHeight="1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  <x:c r="Q19" s="6"/>
      <x:c r="R19" s="6"/>
      <x:c r="S19" s="6"/>
      <x:c r="T19" s="6"/>
      <x:c r="U19" s="6"/>
      <x:c r="V19" s="6"/>
      <x:c r="W19" s="6"/>
      <x:c r="X19" s="6"/>
      <x:c r="Y19" s="6"/>
      <x:c r="Z19" s="6"/>
    </x:row>
    <x:row r="20" ht="20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  <x:c r="W20" s="6"/>
      <x:c r="X20" s="6"/>
      <x:c r="Y20" s="6"/>
      <x:c r="Z20" s="6"/>
    </x:row>
    <x:row r="21" ht="20" customHeight="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  <x:c r="Q21" s="6"/>
      <x:c r="R21" s="6"/>
      <x:c r="S21" s="6"/>
      <x:c r="T21" s="6"/>
      <x:c r="U21" s="6"/>
      <x:c r="V21" s="6"/>
      <x:c r="W21" s="6"/>
      <x:c r="X21" s="6"/>
      <x:c r="Y21" s="6"/>
      <x:c r="Z21" s="6"/>
    </x:row>
    <x:row r="22" ht="20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  <x:c r="W22" s="6"/>
      <x:c r="X22" s="6"/>
      <x:c r="Y22" s="6"/>
      <x:c r="Z22" s="6"/>
    </x:row>
    <x:row r="23" ht="20" customHeight="1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6"/>
      <x:c r="U23" s="6"/>
      <x:c r="V23" s="6"/>
      <x:c r="W23" s="6"/>
      <x:c r="X23" s="6"/>
      <x:c r="Y23" s="6"/>
      <x:c r="Z23" s="6"/>
    </x:row>
    <x:row r="24" ht="20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  <x:c r="W24" s="6"/>
      <x:c r="X24" s="6"/>
      <x:c r="Y24" s="6"/>
      <x:c r="Z24" s="6"/>
    </x:row>
    <x:row r="25" ht="20" customHeight="1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6"/>
      <x:c r="U25" s="6"/>
      <x:c r="V25" s="6"/>
      <x:c r="W25" s="6"/>
      <x:c r="X25" s="6"/>
      <x:c r="Y25" s="6"/>
      <x:c r="Z25" s="6"/>
    </x:row>
    <x:row r="26" ht="20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  <x:c r="W26" s="6"/>
      <x:c r="X26" s="6"/>
      <x:c r="Y26" s="6"/>
      <x:c r="Z26" s="6"/>
    </x:row>
    <x:row r="27" ht="20" customHeight="1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6"/>
      <x:c r="U27" s="6"/>
      <x:c r="V27" s="6"/>
      <x:c r="W27" s="6"/>
      <x:c r="X27" s="6"/>
      <x:c r="Y27" s="6"/>
      <x:c r="Z27" s="6"/>
    </x:row>
    <x:row r="28" ht="20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  <x:c r="W28" s="6"/>
      <x:c r="X28" s="6"/>
      <x:c r="Y28" s="6"/>
      <x:c r="Z28" s="6"/>
    </x:row>
    <x:row r="29" ht="20" customHeight="1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6"/>
      <x:c r="U29" s="6"/>
      <x:c r="V29" s="6"/>
      <x:c r="W29" s="6"/>
      <x:c r="X29" s="6"/>
      <x:c r="Y29" s="6"/>
      <x:c r="Z29" s="6"/>
    </x:row>
    <x:row r="30" ht="20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  <x:c r="W30" s="6"/>
      <x:c r="X30" s="6"/>
      <x:c r="Y30" s="6"/>
      <x:c r="Z30" s="6"/>
    </x:row>
    <x:row r="31" ht="20" customHeight="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6"/>
      <x:c r="U31" s="6"/>
      <x:c r="V31" s="6"/>
      <x:c r="W31" s="6"/>
      <x:c r="X31" s="6"/>
      <x:c r="Y31" s="6"/>
      <x:c r="Z31" s="6"/>
    </x:row>
    <x:row r="32" ht="20" customHeight="1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6"/>
      <x:c r="U32" s="6"/>
      <x:c r="V32" s="6"/>
      <x:c r="W32" s="6"/>
      <x:c r="X32" s="6"/>
      <x:c r="Y32" s="6"/>
      <x:c r="Z32" s="6"/>
    </x:row>
    <x:row r="33" ht="20" customHeight="1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6"/>
      <x:c r="U33" s="6"/>
      <x:c r="V33" s="6"/>
      <x:c r="W33" s="6"/>
      <x:c r="X33" s="6"/>
      <x:c r="Y33" s="6"/>
      <x:c r="Z33" s="6"/>
    </x:row>
    <x:row r="34" ht="20" customHeight="1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6"/>
      <x:c r="U34" s="6"/>
      <x:c r="V34" s="6"/>
      <x:c r="W34" s="6"/>
      <x:c r="X34" s="6"/>
      <x:c r="Y34" s="6"/>
      <x:c r="Z34" s="6"/>
    </x:row>
    <x:row r="35" ht="20" customHeight="1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6"/>
      <x:c r="U35" s="6"/>
      <x:c r="V35" s="6"/>
      <x:c r="W35" s="6"/>
      <x:c r="X35" s="6"/>
      <x:c r="Y35" s="6"/>
      <x:c r="Z35" s="6"/>
    </x:row>
    <x:row r="36" ht="20" customHeight="1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6"/>
      <x:c r="U36" s="6"/>
      <x:c r="V36" s="6"/>
      <x:c r="W36" s="6"/>
      <x:c r="X36" s="6"/>
      <x:c r="Y36" s="6"/>
      <x:c r="Z36" s="6"/>
    </x:row>
    <x:row r="37" ht="20" customHeight="1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6"/>
      <x:c r="U37" s="6"/>
      <x:c r="V37" s="6"/>
      <x:c r="W37" s="6"/>
      <x:c r="X37" s="6"/>
      <x:c r="Y37" s="6"/>
      <x:c r="Z37" s="6"/>
    </x:row>
    <x:row r="38" ht="20" customHeight="1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6"/>
      <x:c r="U38" s="6"/>
      <x:c r="V38" s="6"/>
      <x:c r="W38" s="6"/>
      <x:c r="X38" s="6"/>
      <x:c r="Y38" s="6"/>
      <x:c r="Z38" s="6"/>
    </x:row>
    <x:row r="39" ht="20" customHeight="1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</x:row>
    <x:row r="40" ht="20" customHeight="1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6"/>
      <x:c r="U45" s="6"/>
      <x:c r="V45" s="6"/>
      <x:c r="W45" s="6"/>
      <x:c r="X45" s="6"/>
      <x:c r="Y45" s="6"/>
      <x:c r="Z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6"/>
      <x:c r="U46" s="6"/>
      <x:c r="V46" s="6"/>
      <x:c r="W46" s="6"/>
      <x:c r="X46" s="6"/>
      <x:c r="Y46" s="6"/>
      <x:c r="Z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6"/>
      <x:c r="U47" s="6"/>
      <x:c r="V47" s="6"/>
      <x:c r="W47" s="6"/>
      <x:c r="X47" s="6"/>
      <x:c r="Y47" s="6"/>
      <x:c r="Z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6"/>
      <x:c r="U48" s="6"/>
      <x:c r="V48" s="6"/>
      <x:c r="W48" s="6"/>
      <x:c r="X48" s="6"/>
      <x:c r="Y48" s="6"/>
      <x:c r="Z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6"/>
      <x:c r="U49" s="6"/>
      <x:c r="V49" s="6"/>
      <x:c r="W49" s="6"/>
      <x:c r="X49" s="6"/>
      <x:c r="Y49" s="6"/>
      <x:c r="Z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  <x:c r="U50" s="6"/>
      <x:c r="V50" s="6"/>
      <x:c r="W50" s="6"/>
      <x:c r="X50" s="6"/>
      <x:c r="Y50" s="6"/>
      <x:c r="Z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6"/>
      <x:c r="U51" s="6"/>
      <x:c r="V51" s="6"/>
      <x:c r="W51" s="6"/>
      <x:c r="X51" s="6"/>
      <x:c r="Y51" s="6"/>
      <x:c r="Z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6"/>
      <x:c r="U52" s="6"/>
      <x:c r="V52" s="6"/>
      <x:c r="W52" s="6"/>
      <x:c r="X52" s="6"/>
      <x:c r="Y52" s="6"/>
      <x:c r="Z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6"/>
      <x:c r="U53" s="6"/>
      <x:c r="V53" s="6"/>
      <x:c r="W53" s="6"/>
      <x:c r="X53" s="6"/>
      <x:c r="Y53" s="6"/>
      <x:c r="Z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6"/>
      <x:c r="U54" s="6"/>
      <x:c r="V54" s="6"/>
      <x:c r="W54" s="6"/>
      <x:c r="X54" s="6"/>
      <x:c r="Y54" s="6"/>
      <x:c r="Z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6"/>
      <x:c r="U55" s="6"/>
      <x:c r="V55" s="6"/>
      <x:c r="W55" s="6"/>
      <x:c r="X55" s="6"/>
      <x:c r="Y55" s="6"/>
      <x:c r="Z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  <x:c r="U56" s="6"/>
      <x:c r="V56" s="6"/>
      <x:c r="W56" s="6"/>
      <x:c r="X56" s="6"/>
      <x:c r="Y56" s="6"/>
      <x:c r="Z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6"/>
      <x:c r="U57" s="6"/>
      <x:c r="V57" s="6"/>
      <x:c r="W57" s="6"/>
      <x:c r="X57" s="6"/>
      <x:c r="Y57" s="6"/>
      <x:c r="Z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6"/>
      <x:c r="U58" s="6"/>
      <x:c r="V58" s="6"/>
      <x:c r="W58" s="6"/>
      <x:c r="X58" s="6"/>
      <x:c r="Y58" s="6"/>
      <x:c r="Z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6"/>
      <x:c r="U59" s="6"/>
      <x:c r="V59" s="6"/>
      <x:c r="W59" s="6"/>
      <x:c r="X59" s="6"/>
      <x:c r="Y59" s="6"/>
      <x:c r="Z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6"/>
      <x:c r="U60" s="6"/>
      <x:c r="V60" s="6"/>
      <x:c r="W60" s="6"/>
      <x:c r="X60" s="6"/>
      <x:c r="Y60" s="6"/>
      <x:c r="Z60" s="6"/>
    </x:row>
  </x:sheetData>
  <x:pageMargins left="0.7" right="0.7" top="0.75" bottom="0.75" header="0.3" footer="0.3"/>
</x:worksheet>
</file>